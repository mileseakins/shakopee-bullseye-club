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yers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Awards" sheetId="5" state="visible" r:id="rId5"/>
    <sheet xmlns:r="http://schemas.openxmlformats.org/officeDocument/2006/relationships" name="Player Stats" sheetId="6" state="visible" r:id="rId6"/>
    <sheet xmlns:r="http://schemas.openxmlformats.org/officeDocument/2006/relationships" name="Team Standings" sheetId="7" state="visible" r:id="rId7"/>
    <sheet xmlns:r="http://schemas.openxmlformats.org/officeDocument/2006/relationships" name="Instructions" sheetId="8" state="visible" r:id="rId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92B3B"/>
      </patternFill>
    </fill>
    <fill>
      <patternFill patternType="solid">
        <fgColor rgb="FFFFF1D6"/>
      </patternFill>
    </fill>
  </fills>
  <borders count="2">
    <border/>
    <border/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0" fillId="3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2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3" t="inlineStr">
        <is>
          <t>ID</t>
        </is>
      </c>
      <c r="B1" s="3" t="inlineStr">
        <is>
          <t>Name</t>
        </is>
      </c>
      <c r="C1" s="3" t="inlineStr">
        <is>
          <t>TeamID</t>
        </is>
      </c>
      <c r="D1" s="3" t="inlineStr">
        <is>
          <t>Slot</t>
        </is>
      </c>
      <c r="E1" s="3" t="inlineStr">
        <is>
          <t>PortraitURL</t>
        </is>
      </c>
      <c r="F1" s="3" t="inlineStr">
        <is>
          <t>Sponsor1</t>
        </is>
      </c>
      <c r="G1" s="3" t="inlineStr">
        <is>
          <t>Sponsor2</t>
        </is>
      </c>
      <c r="H1" s="3" t="inlineStr">
        <is>
          <t>PPR</t>
        </is>
      </c>
      <c r="I1" s="3" t="inlineStr">
        <is>
          <t>MPR</t>
        </is>
      </c>
    </row>
    <row r="2">
      <c r="A2" t="inlineStr">
        <is>
          <t>P01</t>
        </is>
      </c>
      <c r="B2" t="inlineStr">
        <is>
          <t>Dave Grandbois</t>
        </is>
      </c>
      <c r="C2" t="inlineStr">
        <is>
          <t>T01</t>
        </is>
      </c>
      <c r="D2" t="inlineStr">
        <is>
          <t>A</t>
        </is>
      </c>
    </row>
    <row r="3">
      <c r="A3" t="inlineStr">
        <is>
          <t>P02</t>
        </is>
      </c>
      <c r="B3" t="inlineStr">
        <is>
          <t>Tony Pastrana</t>
        </is>
      </c>
      <c r="C3" t="inlineStr">
        <is>
          <t>T01</t>
        </is>
      </c>
      <c r="D3" t="inlineStr">
        <is>
          <t>B</t>
        </is>
      </c>
    </row>
    <row r="4">
      <c r="A4" t="inlineStr">
        <is>
          <t>P03</t>
        </is>
      </c>
      <c r="B4" t="inlineStr">
        <is>
          <t>Nick Betsinger</t>
        </is>
      </c>
      <c r="C4" t="inlineStr">
        <is>
          <t>T02</t>
        </is>
      </c>
      <c r="D4" t="inlineStr">
        <is>
          <t>A</t>
        </is>
      </c>
    </row>
    <row r="5">
      <c r="A5" t="inlineStr">
        <is>
          <t>P04</t>
        </is>
      </c>
      <c r="B5" t="inlineStr">
        <is>
          <t>Cole Lair</t>
        </is>
      </c>
      <c r="C5" t="inlineStr">
        <is>
          <t>T02</t>
        </is>
      </c>
      <c r="D5" t="inlineStr">
        <is>
          <t>B</t>
        </is>
      </c>
    </row>
    <row r="6">
      <c r="A6" t="inlineStr">
        <is>
          <t>P05</t>
        </is>
      </c>
      <c r="B6" t="inlineStr">
        <is>
          <t>Brian Dunker</t>
        </is>
      </c>
      <c r="C6" t="inlineStr">
        <is>
          <t>T03</t>
        </is>
      </c>
      <c r="D6" t="inlineStr">
        <is>
          <t>A</t>
        </is>
      </c>
    </row>
    <row r="7">
      <c r="A7" t="inlineStr">
        <is>
          <t>P06</t>
        </is>
      </c>
      <c r="B7" t="inlineStr">
        <is>
          <t>Joe Schuldt</t>
        </is>
      </c>
      <c r="C7" t="inlineStr">
        <is>
          <t>T03</t>
        </is>
      </c>
      <c r="D7" t="inlineStr">
        <is>
          <t>B</t>
        </is>
      </c>
    </row>
    <row r="8">
      <c r="A8" t="inlineStr">
        <is>
          <t>P07</t>
        </is>
      </c>
      <c r="B8" t="inlineStr">
        <is>
          <t>Jason Larson</t>
        </is>
      </c>
      <c r="C8" t="inlineStr">
        <is>
          <t>T04</t>
        </is>
      </c>
      <c r="D8" t="inlineStr">
        <is>
          <t>A</t>
        </is>
      </c>
    </row>
    <row r="9">
      <c r="A9" t="inlineStr">
        <is>
          <t>P08</t>
        </is>
      </c>
      <c r="B9" t="inlineStr">
        <is>
          <t>Jack Stocker</t>
        </is>
      </c>
      <c r="C9" t="inlineStr">
        <is>
          <t>T04</t>
        </is>
      </c>
      <c r="D9" t="inlineStr">
        <is>
          <t>B</t>
        </is>
      </c>
    </row>
    <row r="10">
      <c r="A10" t="inlineStr">
        <is>
          <t>P09</t>
        </is>
      </c>
      <c r="B10" t="inlineStr">
        <is>
          <t>Heang Pao</t>
        </is>
      </c>
      <c r="C10" t="inlineStr">
        <is>
          <t>T05</t>
        </is>
      </c>
      <c r="D10" t="inlineStr">
        <is>
          <t>A</t>
        </is>
      </c>
    </row>
    <row r="11">
      <c r="A11" t="inlineStr">
        <is>
          <t>P10</t>
        </is>
      </c>
      <c r="B11" t="inlineStr">
        <is>
          <t>Brian Pieper</t>
        </is>
      </c>
      <c r="C11" t="inlineStr">
        <is>
          <t>T05</t>
        </is>
      </c>
      <c r="D11" t="inlineStr">
        <is>
          <t>B</t>
        </is>
      </c>
    </row>
    <row r="12">
      <c r="A12" t="inlineStr">
        <is>
          <t>P11</t>
        </is>
      </c>
      <c r="B12" t="inlineStr">
        <is>
          <t>Allex Ege</t>
        </is>
      </c>
      <c r="C12" t="inlineStr">
        <is>
          <t>T06</t>
        </is>
      </c>
      <c r="D12" t="inlineStr">
        <is>
          <t>A</t>
        </is>
      </c>
    </row>
    <row r="13">
      <c r="A13" t="inlineStr">
        <is>
          <t>P12</t>
        </is>
      </c>
      <c r="B13" t="inlineStr">
        <is>
          <t>Stevo Rathsabandith</t>
        </is>
      </c>
      <c r="C13" t="inlineStr">
        <is>
          <t>T06</t>
        </is>
      </c>
      <c r="D13" t="inlineStr">
        <is>
          <t>B</t>
        </is>
      </c>
    </row>
    <row r="14">
      <c r="A14" t="inlineStr">
        <is>
          <t>P13</t>
        </is>
      </c>
      <c r="B14" t="inlineStr">
        <is>
          <t>Nate Carner</t>
        </is>
      </c>
      <c r="C14" t="inlineStr">
        <is>
          <t>T07</t>
        </is>
      </c>
      <c r="D14" t="inlineStr">
        <is>
          <t>A</t>
        </is>
      </c>
    </row>
    <row r="15">
      <c r="A15" t="inlineStr">
        <is>
          <t>P14</t>
        </is>
      </c>
      <c r="B15" t="inlineStr">
        <is>
          <t>Paul Henstein</t>
        </is>
      </c>
      <c r="C15" t="inlineStr">
        <is>
          <t>T07</t>
        </is>
      </c>
      <c r="D15" t="inlineStr">
        <is>
          <t>B</t>
        </is>
      </c>
    </row>
    <row r="16">
      <c r="A16" t="inlineStr">
        <is>
          <t>P15</t>
        </is>
      </c>
      <c r="B16" t="inlineStr">
        <is>
          <t>Miles Eakins</t>
        </is>
      </c>
      <c r="C16" t="inlineStr">
        <is>
          <t>T08</t>
        </is>
      </c>
      <c r="D16" t="inlineStr">
        <is>
          <t>A</t>
        </is>
      </c>
    </row>
    <row r="17">
      <c r="A17" t="inlineStr">
        <is>
          <t>P16</t>
        </is>
      </c>
      <c r="B17" t="inlineStr">
        <is>
          <t>John Kleingarn</t>
        </is>
      </c>
      <c r="C17" t="inlineStr">
        <is>
          <t>T08</t>
        </is>
      </c>
      <c r="D17" t="inlineStr">
        <is>
          <t>B</t>
        </is>
      </c>
    </row>
  </sheetData>
  <dataValidations count="1">
    <dataValidation sqref="D2:D17" showDropDown="0" showInputMessage="0" showErrorMessage="0" allowBlank="0" type="list">
      <formula1>"A,B"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3" t="inlineStr">
        <is>
          <t>ID</t>
        </is>
      </c>
      <c r="B1" s="3" t="inlineStr">
        <is>
          <t>Name</t>
        </is>
      </c>
      <c r="C1" s="3" t="inlineStr">
        <is>
          <t>PlayerAID</t>
        </is>
      </c>
      <c r="D1" s="3" t="inlineStr">
        <is>
          <t>PlayerBID</t>
        </is>
      </c>
    </row>
    <row r="2">
      <c r="A2" t="inlineStr">
        <is>
          <t>T01</t>
        </is>
      </c>
      <c r="B2" t="inlineStr">
        <is>
          <t>Grandbois / Pastrana</t>
        </is>
      </c>
      <c r="C2" t="inlineStr">
        <is>
          <t>P01</t>
        </is>
      </c>
      <c r="D2" t="inlineStr">
        <is>
          <t>P02</t>
        </is>
      </c>
    </row>
    <row r="3">
      <c r="A3" t="inlineStr">
        <is>
          <t>T02</t>
        </is>
      </c>
      <c r="B3" t="inlineStr">
        <is>
          <t>Betsinger / Lair</t>
        </is>
      </c>
      <c r="C3" t="inlineStr">
        <is>
          <t>P03</t>
        </is>
      </c>
      <c r="D3" t="inlineStr">
        <is>
          <t>P04</t>
        </is>
      </c>
    </row>
    <row r="4">
      <c r="A4" t="inlineStr">
        <is>
          <t>T03</t>
        </is>
      </c>
      <c r="B4" t="inlineStr">
        <is>
          <t>Dunker / Schuldt</t>
        </is>
      </c>
      <c r="C4" t="inlineStr">
        <is>
          <t>P05</t>
        </is>
      </c>
      <c r="D4" t="inlineStr">
        <is>
          <t>P06</t>
        </is>
      </c>
    </row>
    <row r="5">
      <c r="A5" t="inlineStr">
        <is>
          <t>T04</t>
        </is>
      </c>
      <c r="B5" t="inlineStr">
        <is>
          <t>Larson / Stocker</t>
        </is>
      </c>
      <c r="C5" t="inlineStr">
        <is>
          <t>P07</t>
        </is>
      </c>
      <c r="D5" t="inlineStr">
        <is>
          <t>P08</t>
        </is>
      </c>
    </row>
    <row r="6">
      <c r="A6" t="inlineStr">
        <is>
          <t>T05</t>
        </is>
      </c>
      <c r="B6" t="inlineStr">
        <is>
          <t>Pao / Pieper</t>
        </is>
      </c>
      <c r="C6" t="inlineStr">
        <is>
          <t>P09</t>
        </is>
      </c>
      <c r="D6" t="inlineStr">
        <is>
          <t>P10</t>
        </is>
      </c>
    </row>
    <row r="7">
      <c r="A7" t="inlineStr">
        <is>
          <t>T06</t>
        </is>
      </c>
      <c r="B7" t="inlineStr">
        <is>
          <t>Ege / Rathsabandith</t>
        </is>
      </c>
      <c r="C7" t="inlineStr">
        <is>
          <t>P11</t>
        </is>
      </c>
      <c r="D7" t="inlineStr">
        <is>
          <t>P12</t>
        </is>
      </c>
    </row>
    <row r="8">
      <c r="A8" t="inlineStr">
        <is>
          <t>T07</t>
        </is>
      </c>
      <c r="B8" t="inlineStr">
        <is>
          <t>Carner / Henstein</t>
        </is>
      </c>
      <c r="C8" t="inlineStr">
        <is>
          <t>P13</t>
        </is>
      </c>
      <c r="D8" t="inlineStr">
        <is>
          <t>P14</t>
        </is>
      </c>
    </row>
    <row r="9">
      <c r="A9" t="inlineStr">
        <is>
          <t>T08</t>
        </is>
      </c>
      <c r="B9" t="inlineStr">
        <is>
          <t>Eakins / Kleingarn</t>
        </is>
      </c>
      <c r="C9" t="inlineStr">
        <is>
          <t>P15</t>
        </is>
      </c>
      <c r="D9" t="inlineStr">
        <is>
          <t>P16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3" t="inlineStr">
        <is>
          <t>FixtureID</t>
        </is>
      </c>
      <c r="B1" s="3" t="inlineStr">
        <is>
          <t>Week</t>
        </is>
      </c>
      <c r="C1" s="3" t="inlineStr">
        <is>
          <t>Date</t>
        </is>
      </c>
      <c r="D1" s="3" t="inlineStr">
        <is>
          <t>Time</t>
        </is>
      </c>
      <c r="E1" s="3" t="inlineStr">
        <is>
          <t>Phase</t>
        </is>
      </c>
      <c r="F1" s="3" t="inlineStr">
        <is>
          <t>HomeTeamID</t>
        </is>
      </c>
      <c r="G1" s="3" t="inlineStr">
        <is>
          <t>AwayTeamID</t>
        </is>
      </c>
      <c r="H1" s="3" t="inlineStr">
        <is>
          <t>Status</t>
        </is>
      </c>
    </row>
    <row r="2"/>
  </sheetData>
  <dataValidations count="1">
    <dataValidation sqref="E2:E130" showDropDown="0" showInputMessage="0" showErrorMessage="0" allowBlank="0" type="list">
      <formula1>"Regular,Playoffs,Final"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3" t="inlineStr">
        <is>
          <t>FixtureID</t>
        </is>
      </c>
      <c r="B1" s="3" t="inlineStr">
        <is>
          <t>ContestType</t>
        </is>
      </c>
      <c r="C1" s="3" t="inlineStr">
        <is>
          <t>HomeLegs</t>
        </is>
      </c>
      <c r="D1" s="3" t="inlineStr">
        <is>
          <t>AwayLegs</t>
        </is>
      </c>
    </row>
  </sheetData>
  <dataValidations count="1">
    <dataValidation sqref="B2:B130" showDropDown="0" showInputMessage="0" showErrorMessage="0" allowBlank="0" type="list">
      <formula1>"A,B,CRICKET"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3" t="inlineStr">
        <is>
          <t>Award</t>
        </is>
      </c>
      <c r="B1" s="3" t="inlineStr">
        <is>
          <t>RecipientID</t>
        </is>
      </c>
      <c r="C1" s="3" t="inlineStr">
        <is>
          <t>Value</t>
        </is>
      </c>
      <c r="D1" s="3" t="inlineStr">
        <is>
          <t>Status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3" t="inlineStr">
        <is>
          <t>PlayerID</t>
        </is>
      </c>
      <c r="B1" s="3" t="inlineStr">
        <is>
          <t>Player</t>
        </is>
      </c>
      <c r="C1" s="3" t="inlineStr">
        <is>
          <t>Slot</t>
        </is>
      </c>
      <c r="D1" s="3" t="inlineStr">
        <is>
          <t>Wins</t>
        </is>
      </c>
      <c r="E1" s="3" t="inlineStr">
        <is>
          <t>Losses</t>
        </is>
      </c>
      <c r="F1" s="3" t="inlineStr">
        <is>
          <t>Legs Won</t>
        </is>
      </c>
      <c r="G1" s="3" t="inlineStr">
        <is>
          <t>Legs Lost</t>
        </is>
      </c>
      <c r="H1" s="3" t="inlineStr">
        <is>
          <t>PPR</t>
        </is>
      </c>
      <c r="I1" s="3" t="inlineStr">
        <is>
          <t>MPR</t>
        </is>
      </c>
    </row>
    <row r="2">
      <c r="A2" t="inlineStr">
        <is>
          <t>P01</t>
        </is>
      </c>
      <c r="B2">
        <f>IFERROR(VLOOKUP(A2,Players!$A$2:$I$17,2,FALSE),"")</f>
        <v/>
      </c>
      <c r="C2">
        <f>IFERROR(VLOOKUP(A2,Players!$A$2:$I$17,4,FALSE),"")</f>
        <v/>
      </c>
      <c r="D2" s="6" t="n"/>
      <c r="E2" s="6" t="n"/>
      <c r="F2" s="6" t="n"/>
      <c r="G2" s="6" t="n"/>
      <c r="H2">
        <f>IFERROR(VLOOKUP(A2,Players!$A$2:$I$17,8,FALSE),"")</f>
        <v/>
      </c>
      <c r="I2">
        <f>IFERROR(VLOOKUP(A2,Players!$A$2:$I$17,9,FALSE),"")</f>
        <v/>
      </c>
    </row>
    <row r="3">
      <c r="A3" t="inlineStr">
        <is>
          <t>P02</t>
        </is>
      </c>
      <c r="B3">
        <f>IFERROR(VLOOKUP(A3,Players!$A$2:$I$17,2,FALSE),"")</f>
        <v/>
      </c>
      <c r="C3">
        <f>IFERROR(VLOOKUP(A3,Players!$A$2:$I$17,4,FALSE),"")</f>
        <v/>
      </c>
      <c r="D3" s="6" t="n"/>
      <c r="E3" s="6" t="n"/>
      <c r="F3" s="6" t="n"/>
      <c r="G3" s="6" t="n"/>
      <c r="H3">
        <f>IFERROR(VLOOKUP(A3,Players!$A$2:$I$17,8,FALSE),"")</f>
        <v/>
      </c>
      <c r="I3">
        <f>IFERROR(VLOOKUP(A3,Players!$A$2:$I$17,9,FALSE),"")</f>
        <v/>
      </c>
    </row>
    <row r="4">
      <c r="A4" t="inlineStr">
        <is>
          <t>P03</t>
        </is>
      </c>
      <c r="B4">
        <f>IFERROR(VLOOKUP(A4,Players!$A$2:$I$17,2,FALSE),"")</f>
        <v/>
      </c>
      <c r="C4">
        <f>IFERROR(VLOOKUP(A4,Players!$A$2:$I$17,4,FALSE),"")</f>
        <v/>
      </c>
      <c r="D4" s="6" t="n"/>
      <c r="E4" s="6" t="n"/>
      <c r="F4" s="6" t="n"/>
      <c r="G4" s="6" t="n"/>
      <c r="H4">
        <f>IFERROR(VLOOKUP(A4,Players!$A$2:$I$17,8,FALSE),"")</f>
        <v/>
      </c>
      <c r="I4">
        <f>IFERROR(VLOOKUP(A4,Players!$A$2:$I$17,9,FALSE),"")</f>
        <v/>
      </c>
    </row>
    <row r="5">
      <c r="A5" t="inlineStr">
        <is>
          <t>P04</t>
        </is>
      </c>
      <c r="B5">
        <f>IFERROR(VLOOKUP(A5,Players!$A$2:$I$17,2,FALSE),"")</f>
        <v/>
      </c>
      <c r="C5">
        <f>IFERROR(VLOOKUP(A5,Players!$A$2:$I$17,4,FALSE),"")</f>
        <v/>
      </c>
      <c r="D5" s="6" t="n"/>
      <c r="E5" s="6" t="n"/>
      <c r="F5" s="6" t="n"/>
      <c r="G5" s="6" t="n"/>
      <c r="H5">
        <f>IFERROR(VLOOKUP(A5,Players!$A$2:$I$17,8,FALSE),"")</f>
        <v/>
      </c>
      <c r="I5">
        <f>IFERROR(VLOOKUP(A5,Players!$A$2:$I$17,9,FALSE),"")</f>
        <v/>
      </c>
    </row>
    <row r="6">
      <c r="A6" t="inlineStr">
        <is>
          <t>P05</t>
        </is>
      </c>
      <c r="B6">
        <f>IFERROR(VLOOKUP(A6,Players!$A$2:$I$17,2,FALSE),"")</f>
        <v/>
      </c>
      <c r="C6">
        <f>IFERROR(VLOOKUP(A6,Players!$A$2:$I$17,4,FALSE),"")</f>
        <v/>
      </c>
      <c r="D6" s="6" t="n"/>
      <c r="E6" s="6" t="n"/>
      <c r="F6" s="6" t="n"/>
      <c r="G6" s="6" t="n"/>
      <c r="H6">
        <f>IFERROR(VLOOKUP(A6,Players!$A$2:$I$17,8,FALSE),"")</f>
        <v/>
      </c>
      <c r="I6">
        <f>IFERROR(VLOOKUP(A6,Players!$A$2:$I$17,9,FALSE),"")</f>
        <v/>
      </c>
    </row>
    <row r="7">
      <c r="A7" t="inlineStr">
        <is>
          <t>P06</t>
        </is>
      </c>
      <c r="B7">
        <f>IFERROR(VLOOKUP(A7,Players!$A$2:$I$17,2,FALSE),"")</f>
        <v/>
      </c>
      <c r="C7">
        <f>IFERROR(VLOOKUP(A7,Players!$A$2:$I$17,4,FALSE),"")</f>
        <v/>
      </c>
      <c r="D7" s="6" t="n"/>
      <c r="E7" s="6" t="n"/>
      <c r="F7" s="6" t="n"/>
      <c r="G7" s="6" t="n"/>
      <c r="H7">
        <f>IFERROR(VLOOKUP(A7,Players!$A$2:$I$17,8,FALSE),"")</f>
        <v/>
      </c>
      <c r="I7">
        <f>IFERROR(VLOOKUP(A7,Players!$A$2:$I$17,9,FALSE),"")</f>
        <v/>
      </c>
    </row>
    <row r="8">
      <c r="A8" t="inlineStr">
        <is>
          <t>P07</t>
        </is>
      </c>
      <c r="B8">
        <f>IFERROR(VLOOKUP(A8,Players!$A$2:$I$17,2,FALSE),"")</f>
        <v/>
      </c>
      <c r="C8">
        <f>IFERROR(VLOOKUP(A8,Players!$A$2:$I$17,4,FALSE),"")</f>
        <v/>
      </c>
      <c r="D8" s="6" t="n"/>
      <c r="E8" s="6" t="n"/>
      <c r="F8" s="6" t="n"/>
      <c r="G8" s="6" t="n"/>
      <c r="H8">
        <f>IFERROR(VLOOKUP(A8,Players!$A$2:$I$17,8,FALSE),"")</f>
        <v/>
      </c>
      <c r="I8">
        <f>IFERROR(VLOOKUP(A8,Players!$A$2:$I$17,9,FALSE),"")</f>
        <v/>
      </c>
    </row>
    <row r="9">
      <c r="A9" t="inlineStr">
        <is>
          <t>P08</t>
        </is>
      </c>
      <c r="B9">
        <f>IFERROR(VLOOKUP(A9,Players!$A$2:$I$17,2,FALSE),"")</f>
        <v/>
      </c>
      <c r="C9">
        <f>IFERROR(VLOOKUP(A9,Players!$A$2:$I$17,4,FALSE),"")</f>
        <v/>
      </c>
      <c r="D9" s="6" t="n"/>
      <c r="E9" s="6" t="n"/>
      <c r="F9" s="6" t="n"/>
      <c r="G9" s="6" t="n"/>
      <c r="H9">
        <f>IFERROR(VLOOKUP(A9,Players!$A$2:$I$17,8,FALSE),"")</f>
        <v/>
      </c>
      <c r="I9">
        <f>IFERROR(VLOOKUP(A9,Players!$A$2:$I$17,9,FALSE),"")</f>
        <v/>
      </c>
    </row>
    <row r="10">
      <c r="A10" t="inlineStr">
        <is>
          <t>P09</t>
        </is>
      </c>
      <c r="B10">
        <f>IFERROR(VLOOKUP(A10,Players!$A$2:$I$17,2,FALSE),"")</f>
        <v/>
      </c>
      <c r="C10">
        <f>IFERROR(VLOOKUP(A10,Players!$A$2:$I$17,4,FALSE),"")</f>
        <v/>
      </c>
      <c r="D10" s="6" t="n"/>
      <c r="E10" s="6" t="n"/>
      <c r="F10" s="6" t="n"/>
      <c r="G10" s="6" t="n"/>
      <c r="H10">
        <f>IFERROR(VLOOKUP(A10,Players!$A$2:$I$17,8,FALSE),"")</f>
        <v/>
      </c>
      <c r="I10">
        <f>IFERROR(VLOOKUP(A10,Players!$A$2:$I$17,9,FALSE),"")</f>
        <v/>
      </c>
    </row>
    <row r="11">
      <c r="A11" t="inlineStr">
        <is>
          <t>P10</t>
        </is>
      </c>
      <c r="B11">
        <f>IFERROR(VLOOKUP(A11,Players!$A$2:$I$17,2,FALSE),"")</f>
        <v/>
      </c>
      <c r="C11">
        <f>IFERROR(VLOOKUP(A11,Players!$A$2:$I$17,4,FALSE),"")</f>
        <v/>
      </c>
      <c r="D11" s="6" t="n"/>
      <c r="E11" s="6" t="n"/>
      <c r="F11" s="6" t="n"/>
      <c r="G11" s="6" t="n"/>
      <c r="H11">
        <f>IFERROR(VLOOKUP(A11,Players!$A$2:$I$17,8,FALSE),"")</f>
        <v/>
      </c>
      <c r="I11">
        <f>IFERROR(VLOOKUP(A11,Players!$A$2:$I$17,9,FALSE),"")</f>
        <v/>
      </c>
    </row>
    <row r="12">
      <c r="A12" t="inlineStr">
        <is>
          <t>P11</t>
        </is>
      </c>
      <c r="B12">
        <f>IFERROR(VLOOKUP(A12,Players!$A$2:$I$17,2,FALSE),"")</f>
        <v/>
      </c>
      <c r="C12">
        <f>IFERROR(VLOOKUP(A12,Players!$A$2:$I$17,4,FALSE),"")</f>
        <v/>
      </c>
      <c r="D12" s="6" t="n"/>
      <c r="E12" s="6" t="n"/>
      <c r="F12" s="6" t="n"/>
      <c r="G12" s="6" t="n"/>
      <c r="H12">
        <f>IFERROR(VLOOKUP(A12,Players!$A$2:$I$17,8,FALSE),"")</f>
        <v/>
      </c>
      <c r="I12">
        <f>IFERROR(VLOOKUP(A12,Players!$A$2:$I$17,9,FALSE),"")</f>
        <v/>
      </c>
    </row>
    <row r="13">
      <c r="A13" t="inlineStr">
        <is>
          <t>P12</t>
        </is>
      </c>
      <c r="B13">
        <f>IFERROR(VLOOKUP(A13,Players!$A$2:$I$17,2,FALSE),"")</f>
        <v/>
      </c>
      <c r="C13">
        <f>IFERROR(VLOOKUP(A13,Players!$A$2:$I$17,4,FALSE),"")</f>
        <v/>
      </c>
      <c r="D13" s="6" t="n"/>
      <c r="E13" s="6" t="n"/>
      <c r="F13" s="6" t="n"/>
      <c r="G13" s="6" t="n"/>
      <c r="H13">
        <f>IFERROR(VLOOKUP(A13,Players!$A$2:$I$17,8,FALSE),"")</f>
        <v/>
      </c>
      <c r="I13">
        <f>IFERROR(VLOOKUP(A13,Players!$A$2:$I$17,9,FALSE),"")</f>
        <v/>
      </c>
    </row>
    <row r="14">
      <c r="A14" t="inlineStr">
        <is>
          <t>P13</t>
        </is>
      </c>
      <c r="B14">
        <f>IFERROR(VLOOKUP(A14,Players!$A$2:$I$17,2,FALSE),"")</f>
        <v/>
      </c>
      <c r="C14">
        <f>IFERROR(VLOOKUP(A14,Players!$A$2:$I$17,4,FALSE),"")</f>
        <v/>
      </c>
      <c r="D14" s="6" t="n"/>
      <c r="E14" s="6" t="n"/>
      <c r="F14" s="6" t="n"/>
      <c r="G14" s="6" t="n"/>
      <c r="H14">
        <f>IFERROR(VLOOKUP(A14,Players!$A$2:$I$17,8,FALSE),"")</f>
        <v/>
      </c>
      <c r="I14">
        <f>IFERROR(VLOOKUP(A14,Players!$A$2:$I$17,9,FALSE),"")</f>
        <v/>
      </c>
    </row>
    <row r="15">
      <c r="A15" t="inlineStr">
        <is>
          <t>P14</t>
        </is>
      </c>
      <c r="B15">
        <f>IFERROR(VLOOKUP(A15,Players!$A$2:$I$17,2,FALSE),"")</f>
        <v/>
      </c>
      <c r="C15">
        <f>IFERROR(VLOOKUP(A15,Players!$A$2:$I$17,4,FALSE),"")</f>
        <v/>
      </c>
      <c r="D15" s="6" t="n"/>
      <c r="E15" s="6" t="n"/>
      <c r="F15" s="6" t="n"/>
      <c r="G15" s="6" t="n"/>
      <c r="H15">
        <f>IFERROR(VLOOKUP(A15,Players!$A$2:$I$17,8,FALSE),"")</f>
        <v/>
      </c>
      <c r="I15">
        <f>IFERROR(VLOOKUP(A15,Players!$A$2:$I$17,9,FALSE),"")</f>
        <v/>
      </c>
    </row>
    <row r="16">
      <c r="A16" t="inlineStr">
        <is>
          <t>P15</t>
        </is>
      </c>
      <c r="B16">
        <f>IFERROR(VLOOKUP(A16,Players!$A$2:$I$17,2,FALSE),"")</f>
        <v/>
      </c>
      <c r="C16">
        <f>IFERROR(VLOOKUP(A16,Players!$A$2:$I$17,4,FALSE),"")</f>
        <v/>
      </c>
      <c r="D16" s="6" t="n"/>
      <c r="E16" s="6" t="n"/>
      <c r="F16" s="6" t="n"/>
      <c r="G16" s="6" t="n"/>
      <c r="H16">
        <f>IFERROR(VLOOKUP(A16,Players!$A$2:$I$17,8,FALSE),"")</f>
        <v/>
      </c>
      <c r="I16">
        <f>IFERROR(VLOOKUP(A16,Players!$A$2:$I$17,9,FALSE),"")</f>
        <v/>
      </c>
    </row>
    <row r="17">
      <c r="A17" t="inlineStr">
        <is>
          <t>P16</t>
        </is>
      </c>
      <c r="B17">
        <f>IFERROR(VLOOKUP(A17,Players!$A$2:$I$17,2,FALSE),"")</f>
        <v/>
      </c>
      <c r="C17">
        <f>IFERROR(VLOOKUP(A17,Players!$A$2:$I$17,4,FALSE),"")</f>
        <v/>
      </c>
      <c r="D17" s="6" t="n"/>
      <c r="E17" s="6" t="n"/>
      <c r="F17" s="6" t="n"/>
      <c r="G17" s="6" t="n"/>
      <c r="H17">
        <f>IFERROR(VLOOKUP(A17,Players!$A$2:$I$17,8,FALSE),"")</f>
        <v/>
      </c>
      <c r="I17">
        <f>IFERROR(VLOOKUP(A17,Players!$A$2:$I$17,9,FALSE),"")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3" t="inlineStr">
        <is>
          <t>TeamID</t>
        </is>
      </c>
      <c r="B1" s="3" t="inlineStr">
        <is>
          <t>Team</t>
        </is>
      </c>
      <c r="C1" s="3" t="inlineStr">
        <is>
          <t>Contest Wins</t>
        </is>
      </c>
      <c r="D1" s="3" t="inlineStr">
        <is>
          <t>Contest Losses</t>
        </is>
      </c>
      <c r="E1" s="3" t="inlineStr">
        <is>
          <t>Legs Won</t>
        </is>
      </c>
      <c r="F1" s="3" t="inlineStr">
        <is>
          <t>Legs Lost</t>
        </is>
      </c>
      <c r="G1" s="3" t="inlineStr">
        <is>
          <t>Points</t>
        </is>
      </c>
    </row>
    <row r="2">
      <c r="A2" t="inlineStr">
        <is>
          <t>T01</t>
        </is>
      </c>
      <c r="B2">
        <f>IFERROR(VLOOKUP(A2,Teams!$A$2:$D$9,2,FALSE),"")</f>
        <v/>
      </c>
      <c r="C2" s="6" t="n"/>
      <c r="D2" s="6" t="n"/>
      <c r="E2" s="6" t="n"/>
      <c r="F2" s="6" t="n"/>
      <c r="G2" s="6" t="n"/>
    </row>
    <row r="3">
      <c r="A3" t="inlineStr">
        <is>
          <t>T02</t>
        </is>
      </c>
      <c r="B3">
        <f>IFERROR(VLOOKUP(A3,Teams!$A$2:$D$9,2,FALSE),"")</f>
        <v/>
      </c>
      <c r="C3" s="6" t="n"/>
      <c r="D3" s="6" t="n"/>
      <c r="E3" s="6" t="n"/>
      <c r="F3" s="6" t="n"/>
      <c r="G3" s="6" t="n"/>
    </row>
    <row r="4">
      <c r="A4" t="inlineStr">
        <is>
          <t>T03</t>
        </is>
      </c>
      <c r="B4">
        <f>IFERROR(VLOOKUP(A4,Teams!$A$2:$D$9,2,FALSE),"")</f>
        <v/>
      </c>
      <c r="C4" s="6" t="n"/>
      <c r="D4" s="6" t="n"/>
      <c r="E4" s="6" t="n"/>
      <c r="F4" s="6" t="n"/>
      <c r="G4" s="6" t="n"/>
    </row>
    <row r="5">
      <c r="A5" t="inlineStr">
        <is>
          <t>T04</t>
        </is>
      </c>
      <c r="B5">
        <f>IFERROR(VLOOKUP(A5,Teams!$A$2:$D$9,2,FALSE),"")</f>
        <v/>
      </c>
      <c r="C5" s="6" t="n"/>
      <c r="D5" s="6" t="n"/>
      <c r="E5" s="6" t="n"/>
      <c r="F5" s="6" t="n"/>
      <c r="G5" s="6" t="n"/>
    </row>
    <row r="6">
      <c r="A6" t="inlineStr">
        <is>
          <t>T05</t>
        </is>
      </c>
      <c r="B6">
        <f>IFERROR(VLOOKUP(A6,Teams!$A$2:$D$9,2,FALSE),"")</f>
        <v/>
      </c>
      <c r="C6" s="6" t="n"/>
      <c r="D6" s="6" t="n"/>
      <c r="E6" s="6" t="n"/>
      <c r="F6" s="6" t="n"/>
      <c r="G6" s="6" t="n"/>
    </row>
    <row r="7">
      <c r="A7" t="inlineStr">
        <is>
          <t>T06</t>
        </is>
      </c>
      <c r="B7">
        <f>IFERROR(VLOOKUP(A7,Teams!$A$2:$D$9,2,FALSE),"")</f>
        <v/>
      </c>
      <c r="C7" s="6" t="n"/>
      <c r="D7" s="6" t="n"/>
      <c r="E7" s="6" t="n"/>
      <c r="F7" s="6" t="n"/>
      <c r="G7" s="6" t="n"/>
    </row>
    <row r="8">
      <c r="A8" t="inlineStr">
        <is>
          <t>T07</t>
        </is>
      </c>
      <c r="B8">
        <f>IFERROR(VLOOKUP(A8,Teams!$A$2:$D$9,2,FALSE),"")</f>
        <v/>
      </c>
      <c r="C8" s="6" t="n"/>
      <c r="D8" s="6" t="n"/>
      <c r="E8" s="6" t="n"/>
      <c r="F8" s="6" t="n"/>
      <c r="G8" s="6" t="n"/>
    </row>
    <row r="9">
      <c r="A9" t="inlineStr">
        <is>
          <t>T08</t>
        </is>
      </c>
      <c r="B9">
        <f>IFERROR(VLOOKUP(A9,Teams!$A$2:$D$9,2,FALSE),"")</f>
        <v/>
      </c>
      <c r="C9" s="6" t="n"/>
      <c r="D9" s="6" t="n"/>
      <c r="E9" s="6" t="n"/>
      <c r="F9" s="6" t="n"/>
      <c r="G9" s="6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3" t="inlineStr">
        <is>
          <t>STEP</t>
        </is>
      </c>
      <c r="B1" s="3" t="inlineStr">
        <is>
          <t>ACTION</t>
        </is>
      </c>
    </row>
    <row r="2">
      <c r="A2" t="inlineStr">
        <is>
          <t>1</t>
        </is>
      </c>
      <c r="B2" t="inlineStr">
        <is>
          <t>Roster and team pairings are populated. Confirm A/B slots: first name in each submitted pair is provisionally A, second is B.</t>
        </is>
      </c>
    </row>
    <row r="3">
      <c r="A3" t="inlineStr">
        <is>
          <t>2</t>
        </is>
      </c>
      <c r="B3" t="inlineStr">
        <is>
          <t>Add publicly accessible player portrait URLs and sponsors to Players.</t>
        </is>
      </c>
    </row>
    <row r="4">
      <c r="A4" t="inlineStr">
        <is>
          <t>3</t>
        </is>
      </c>
      <c r="B4" t="inlineStr">
        <is>
          <t>Set PlayerAID and PlayerBID on each team.</t>
        </is>
      </c>
    </row>
    <row r="5">
      <c r="A5" t="inlineStr">
        <is>
          <t>4</t>
        </is>
      </c>
      <c r="B5" t="inlineStr">
        <is>
          <t>Add fixture rows in Schedule. Fixture IDs must be unique.</t>
        </is>
      </c>
    </row>
    <row r="6">
      <c r="A6" t="inlineStr">
        <is>
          <t>5</t>
        </is>
      </c>
      <c r="B6" t="inlineStr">
        <is>
          <t>Enter three Results rows per fixture: A, B, CRICKET; best of three legs.</t>
        </is>
      </c>
    </row>
    <row r="7">
      <c r="A7" t="inlineStr">
        <is>
          <t>6</t>
        </is>
      </c>
      <c r="B7" t="inlineStr">
        <is>
          <t>Enter PPR/MPR manually in Players; paste public HTTPS portrait URLs.</t>
        </is>
      </c>
    </row>
    <row r="8">
      <c r="A8" t="inlineStr">
        <is>
          <t>7</t>
        </is>
      </c>
      <c r="B8" t="inlineStr">
        <is>
          <t>Player Stats and Team Standings are website-calculated; yellow cells are not authoritative.</t>
        </is>
      </c>
    </row>
    <row r="9">
      <c r="A9" t="inlineStr">
        <is>
          <t>8</t>
        </is>
      </c>
      <c r="B9" t="inlineStr">
        <is>
          <t>The website calculates all ranking tables from Schedule and Results.</t>
        </is>
      </c>
    </row>
    <row r="10">
      <c r="A10" t="inlineStr">
        <is>
          <t>9</t>
        </is>
      </c>
      <c r="B10" t="inlineStr">
        <is>
          <t>Deploy Code.gs from Extensions &gt; Apps Script, then set config.js URL.</t>
        </is>
      </c>
    </row>
    <row r="11">
      <c r="A11" t="inlineStr">
        <is>
          <t>10</t>
        </is>
      </c>
      <c r="B11" t="inlineStr">
        <is>
          <t>Do not put private personal information in publicly served source tabs.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2026-10-13T18:12:57Z</dcterms:created>
  <dcterms:modified xmlns:dcterms="http://purl.org/dc/terms/" xmlns:xsi="http://www.w3.org/2001/XMLSchema-instance" xsi:type="dcterms:W3CDTF">2026-10-13T18:12:57Z</dcterms:modified>
</cp:coreProperties>
</file>